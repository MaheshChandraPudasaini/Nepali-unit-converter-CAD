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9315" windowHeight="5850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2"/>
  <c r="F4"/>
  <c r="F5"/>
  <c r="F6"/>
  <c r="F7"/>
  <c r="F8"/>
  <c r="F9"/>
  <c r="F10"/>
  <c r="F11"/>
  <c r="F12"/>
  <c r="F13"/>
  <c r="F14"/>
  <c r="F15"/>
  <c r="F16"/>
  <c r="G4" i="1"/>
  <c r="C4" s="1"/>
  <c r="G5"/>
  <c r="C5" s="1"/>
  <c r="G6"/>
  <c r="C6" s="1"/>
  <c r="G7"/>
  <c r="C7" s="1"/>
  <c r="G8"/>
  <c r="C8" s="1"/>
  <c r="G9"/>
  <c r="C9" s="1"/>
  <c r="G10"/>
  <c r="C10" s="1"/>
  <c r="G11"/>
  <c r="C11" s="1"/>
  <c r="G12"/>
  <c r="C12" s="1"/>
  <c r="G13"/>
  <c r="C13" s="1"/>
  <c r="G14"/>
  <c r="C14" s="1"/>
  <c r="G15"/>
  <c r="C15" s="1"/>
  <c r="G16"/>
  <c r="C16" s="1"/>
  <c r="G17"/>
  <c r="C17" s="1"/>
  <c r="G3"/>
  <c r="C3" s="1"/>
  <c r="H11" l="1"/>
  <c r="I11" s="1"/>
  <c r="D11" s="1"/>
  <c r="H17"/>
  <c r="I17" s="1"/>
  <c r="D17" s="1"/>
  <c r="H9"/>
  <c r="H14"/>
  <c r="I14" s="1"/>
  <c r="D14" s="1"/>
  <c r="H6"/>
  <c r="I6" s="1"/>
  <c r="D6" s="1"/>
  <c r="H13"/>
  <c r="I13" s="1"/>
  <c r="D13" s="1"/>
  <c r="H5"/>
  <c r="I5" s="1"/>
  <c r="H12"/>
  <c r="I12" s="1"/>
  <c r="D12" s="1"/>
  <c r="H4"/>
  <c r="I4" s="1"/>
  <c r="D4" s="1"/>
  <c r="H10"/>
  <c r="I10" s="1"/>
  <c r="D10" s="1"/>
  <c r="H16"/>
  <c r="H8"/>
  <c r="I8" s="1"/>
  <c r="D8" s="1"/>
  <c r="H3"/>
  <c r="I3" s="1"/>
  <c r="D3" s="1"/>
  <c r="H15"/>
  <c r="I15" s="1"/>
  <c r="D15" s="1"/>
  <c r="H7"/>
  <c r="I7" s="1"/>
  <c r="D7" s="1"/>
  <c r="I16"/>
  <c r="D16" s="1"/>
  <c r="I9"/>
  <c r="D9" s="1"/>
  <c r="J5" l="1"/>
  <c r="K5" s="1"/>
  <c r="D5"/>
  <c r="J15"/>
  <c r="K15" s="1"/>
  <c r="E15" s="1"/>
  <c r="J16"/>
  <c r="K16" s="1"/>
  <c r="E16" s="1"/>
  <c r="J3"/>
  <c r="K3" s="1"/>
  <c r="E3" s="1"/>
  <c r="J9"/>
  <c r="K9" s="1"/>
  <c r="E9" s="1"/>
  <c r="J12"/>
  <c r="K12" s="1"/>
  <c r="E12" s="1"/>
  <c r="J10"/>
  <c r="K10" s="1"/>
  <c r="E10" s="1"/>
  <c r="J17"/>
  <c r="K17" s="1"/>
  <c r="E17" s="1"/>
  <c r="J4"/>
  <c r="K4" s="1"/>
  <c r="E4" s="1"/>
  <c r="J11"/>
  <c r="K11" s="1"/>
  <c r="E11" s="1"/>
  <c r="J14"/>
  <c r="K14" s="1"/>
  <c r="E14" s="1"/>
  <c r="J6"/>
  <c r="K6" s="1"/>
  <c r="E6" s="1"/>
  <c r="J13"/>
  <c r="K13" s="1"/>
  <c r="E13" s="1"/>
  <c r="J7"/>
  <c r="K7" s="1"/>
  <c r="E7" s="1"/>
  <c r="J8"/>
  <c r="K8" s="1"/>
  <c r="E8" s="1"/>
  <c r="L5" l="1"/>
  <c r="M5" s="1"/>
  <c r="F5" s="1"/>
  <c r="E5"/>
  <c r="L3"/>
  <c r="M3" s="1"/>
  <c r="F3" s="1"/>
  <c r="O3" s="1"/>
  <c r="F2" i="2" s="1"/>
  <c r="L8" i="1"/>
  <c r="M8" s="1"/>
  <c r="F8" s="1"/>
  <c r="O8" s="1"/>
  <c r="L14"/>
  <c r="L10"/>
  <c r="L12"/>
  <c r="M12" s="1"/>
  <c r="F12" s="1"/>
  <c r="O12" s="1"/>
  <c r="L9"/>
  <c r="M9" s="1"/>
  <c r="F9" s="1"/>
  <c r="O9" s="1"/>
  <c r="L16"/>
  <c r="L15"/>
  <c r="L13"/>
  <c r="M13" s="1"/>
  <c r="F13" s="1"/>
  <c r="O13" s="1"/>
  <c r="L6"/>
  <c r="L4"/>
  <c r="M4" s="1"/>
  <c r="F4" s="1"/>
  <c r="O4" s="1"/>
  <c r="L7"/>
  <c r="M7" s="1"/>
  <c r="F7" s="1"/>
  <c r="O7" s="1"/>
  <c r="L11"/>
  <c r="M11" s="1"/>
  <c r="F11" s="1"/>
  <c r="O11" s="1"/>
  <c r="L17"/>
  <c r="M17" s="1"/>
  <c r="F17" s="1"/>
  <c r="O17" s="1"/>
  <c r="M16"/>
  <c r="F16" s="1"/>
  <c r="O16" s="1"/>
  <c r="M15"/>
  <c r="F15" s="1"/>
  <c r="O15" s="1"/>
  <c r="M10"/>
  <c r="F10" s="1"/>
  <c r="O10" s="1"/>
  <c r="M6"/>
  <c r="F6" s="1"/>
  <c r="O6" s="1"/>
  <c r="M14"/>
  <c r="F14" s="1"/>
  <c r="O14" s="1"/>
  <c r="O5" l="1"/>
</calcChain>
</file>

<file path=xl/sharedStrings.xml><?xml version="1.0" encoding="utf-8"?>
<sst xmlns="http://schemas.openxmlformats.org/spreadsheetml/2006/main" count="16" uniqueCount="10">
  <si>
    <t>GEO SERVICES NEPAL</t>
  </si>
  <si>
    <t>Formula Sheet</t>
  </si>
  <si>
    <t>S.N</t>
  </si>
  <si>
    <t>INPUT AREA( SQM )</t>
  </si>
  <si>
    <t>Ropani</t>
  </si>
  <si>
    <t>Aana</t>
  </si>
  <si>
    <t>Paisa</t>
  </si>
  <si>
    <t>Dam</t>
  </si>
  <si>
    <t>paisa</t>
  </si>
  <si>
    <t>Ropani - Aana - Paisa - Dam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</si>
</sst>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" fontId="0" fillId="0" borderId="0" xfId="0" applyNumberFormat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2" xfId="0" applyBorder="1"/>
    <xf numFmtId="0" fontId="1" fillId="4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3" borderId="8" xfId="0" applyNumberFormat="1" applyFill="1" applyBorder="1" applyAlignment="1" applyProtection="1">
      <alignment horizontal="center" vertical="center"/>
      <protection hidden="1"/>
    </xf>
    <xf numFmtId="1" fontId="0" fillId="3" borderId="1" xfId="0" applyNumberFormat="1" applyFill="1" applyBorder="1" applyAlignment="1" applyProtection="1">
      <alignment horizontal="center" vertical="center"/>
      <protection hidden="1"/>
    </xf>
    <xf numFmtId="165" fontId="0" fillId="3" borderId="12" xfId="0" applyNumberFormat="1" applyFill="1" applyBorder="1" applyAlignment="1" applyProtection="1">
      <alignment horizontal="center" vertic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165" fontId="0" fillId="0" borderId="0" xfId="0" applyNumberFormat="1" applyAlignment="1" applyProtection="1">
      <alignment horizontal="center"/>
      <protection hidden="1"/>
    </xf>
    <xf numFmtId="164" fontId="0" fillId="0" borderId="18" xfId="0" applyNumberForma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0" fillId="0" borderId="13" xfId="0" applyNumberFormat="1" applyBorder="1" applyAlignment="1" applyProtection="1">
      <alignment horizontal="center" vertical="center"/>
      <protection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zoomScaleNormal="100" workbookViewId="0">
      <selection activeCell="A3" sqref="A3"/>
    </sheetView>
  </sheetViews>
  <sheetFormatPr defaultRowHeight="15"/>
  <cols>
    <col min="1" max="1" width="5.85546875" customWidth="1"/>
    <col min="2" max="2" width="25.85546875" customWidth="1"/>
    <col min="3" max="3" width="6.85546875" bestFit="1" customWidth="1"/>
    <col min="4" max="5" width="5.28515625" bestFit="1" customWidth="1"/>
    <col min="6" max="6" width="5.5703125" bestFit="1" customWidth="1"/>
    <col min="7" max="8" width="7.28515625" bestFit="1" customWidth="1"/>
    <col min="9" max="9" width="5.5703125" bestFit="1" customWidth="1"/>
    <col min="10" max="10" width="6.5703125" bestFit="1" customWidth="1"/>
    <col min="11" max="12" width="5.5703125" bestFit="1" customWidth="1"/>
    <col min="13" max="13" width="6.5703125" bestFit="1" customWidth="1"/>
    <col min="15" max="15" width="35.28515625" customWidth="1"/>
    <col min="16" max="16" width="8" bestFit="1" customWidth="1"/>
  </cols>
  <sheetData>
    <row r="1" spans="1:19" ht="24" customHeight="1" thickBot="1">
      <c r="A1" s="26" t="s">
        <v>0</v>
      </c>
      <c r="B1" s="27"/>
      <c r="C1" s="27"/>
      <c r="D1" s="27"/>
      <c r="E1" s="27"/>
      <c r="F1" s="28"/>
      <c r="G1" s="23" t="s">
        <v>1</v>
      </c>
      <c r="H1" s="24"/>
      <c r="I1" s="24"/>
      <c r="J1" s="24"/>
      <c r="K1" s="24"/>
      <c r="L1" s="24"/>
      <c r="M1" s="25"/>
    </row>
    <row r="2" spans="1:19" ht="33" customHeight="1" thickBot="1">
      <c r="A2" s="8" t="s">
        <v>2</v>
      </c>
      <c r="B2" s="9" t="s">
        <v>3</v>
      </c>
      <c r="C2" s="5" t="s">
        <v>4</v>
      </c>
      <c r="D2" s="6" t="s">
        <v>5</v>
      </c>
      <c r="E2" s="6" t="s">
        <v>6</v>
      </c>
      <c r="F2" s="7" t="s">
        <v>7</v>
      </c>
      <c r="G2" s="4" t="s">
        <v>4</v>
      </c>
      <c r="H2" s="2" t="s">
        <v>4</v>
      </c>
      <c r="I2" s="2" t="s">
        <v>5</v>
      </c>
      <c r="J2" s="2" t="s">
        <v>5</v>
      </c>
      <c r="K2" s="2" t="s">
        <v>6</v>
      </c>
      <c r="L2" s="2" t="s">
        <v>8</v>
      </c>
      <c r="M2" s="3" t="s">
        <v>7</v>
      </c>
      <c r="O2" s="10" t="s">
        <v>9</v>
      </c>
    </row>
    <row r="3" spans="1:19" ht="22.9" customHeight="1">
      <c r="A3" s="11">
        <v>1</v>
      </c>
      <c r="B3" s="22">
        <v>966.34</v>
      </c>
      <c r="C3" s="12">
        <f>INT(G3)</f>
        <v>1</v>
      </c>
      <c r="D3" s="13">
        <f>INT(I3)</f>
        <v>14</v>
      </c>
      <c r="E3" s="13">
        <f>INT(K3)</f>
        <v>1</v>
      </c>
      <c r="F3" s="14">
        <f>TRUNC(M3,1)</f>
        <v>2.2000000000000002</v>
      </c>
      <c r="G3" s="15">
        <f t="shared" ref="G3:G17" si="0">B3/508.74</f>
        <v>1.8994771395997956</v>
      </c>
      <c r="H3" s="16">
        <f>G3-TRUNC(G3)</f>
        <v>0.89947713959979558</v>
      </c>
      <c r="I3" s="15">
        <f t="shared" ref="I3:I17" si="1">H3*16</f>
        <v>14.391634233596729</v>
      </c>
      <c r="J3" s="16">
        <f>I3-TRUNC(I3)</f>
        <v>0.39163423359672933</v>
      </c>
      <c r="K3" s="15">
        <f t="shared" ref="K3:K17" si="2">J3*4</f>
        <v>1.5665369343869173</v>
      </c>
      <c r="L3" s="17">
        <f>K3-TRUNC(K3)</f>
        <v>0.56653693438691732</v>
      </c>
      <c r="M3" s="18">
        <f>L3*4</f>
        <v>2.2661477375476693</v>
      </c>
      <c r="N3" s="19"/>
      <c r="O3" s="20" t="str">
        <f>C3&amp;" - "&amp;D3&amp;" - "&amp;E3&amp;" - "&amp;F3</f>
        <v>1 - 14 - 1 - 2.2</v>
      </c>
      <c r="P3" s="1"/>
      <c r="Q3" s="1"/>
      <c r="R3" s="1"/>
      <c r="S3" s="1"/>
    </row>
    <row r="4" spans="1:19" ht="22.15" customHeight="1">
      <c r="A4" s="11">
        <v>2</v>
      </c>
      <c r="B4" s="22">
        <v>525252</v>
      </c>
      <c r="C4" s="12">
        <f t="shared" ref="C4:C17" si="3">INT(G4)</f>
        <v>1032</v>
      </c>
      <c r="D4" s="13">
        <f t="shared" ref="D4:D17" si="4">INT(I4)</f>
        <v>7</v>
      </c>
      <c r="E4" s="13">
        <f t="shared" ref="E4:E17" si="5">INT(K4)</f>
        <v>1</v>
      </c>
      <c r="F4" s="14">
        <f t="shared" ref="F4:F17" si="6">TRUNC(M4,1)</f>
        <v>0.9</v>
      </c>
      <c r="G4" s="15">
        <f t="shared" si="0"/>
        <v>1032.4566576247198</v>
      </c>
      <c r="H4" s="16">
        <f t="shared" ref="H4:H17" si="7">G4-TRUNC(G4)</f>
        <v>0.45665762471980997</v>
      </c>
      <c r="I4" s="15">
        <f t="shared" si="1"/>
        <v>7.3065219955169596</v>
      </c>
      <c r="J4" s="16">
        <f>I4-TRUNC(I4)</f>
        <v>0.30652199551695958</v>
      </c>
      <c r="K4" s="15">
        <f t="shared" si="2"/>
        <v>1.2260879820678383</v>
      </c>
      <c r="L4" s="17">
        <f>K4-TRUNC(K4)</f>
        <v>0.22608798206783831</v>
      </c>
      <c r="M4" s="18">
        <f>L4*4</f>
        <v>0.90435192827135324</v>
      </c>
      <c r="N4" s="19"/>
      <c r="O4" s="21" t="str">
        <f>C4&amp;" - "&amp;D4&amp;" - "&amp;E4&amp;" - "&amp;F4</f>
        <v>1032 - 7 - 1 - 0.9</v>
      </c>
    </row>
    <row r="5" spans="1:19" ht="25.15" customHeight="1">
      <c r="A5" s="11">
        <v>3</v>
      </c>
      <c r="B5" s="22">
        <v>2178.0680000000002</v>
      </c>
      <c r="C5" s="12">
        <f t="shared" si="3"/>
        <v>4</v>
      </c>
      <c r="D5" s="13">
        <f t="shared" si="4"/>
        <v>4</v>
      </c>
      <c r="E5" s="13">
        <f t="shared" si="5"/>
        <v>2</v>
      </c>
      <c r="F5" s="14">
        <f t="shared" si="6"/>
        <v>0</v>
      </c>
      <c r="G5" s="15">
        <f t="shared" si="0"/>
        <v>4.2812988953099822</v>
      </c>
      <c r="H5" s="16">
        <f t="shared" si="7"/>
        <v>0.2812988953099822</v>
      </c>
      <c r="I5" s="15">
        <f t="shared" si="1"/>
        <v>4.5007823249597152</v>
      </c>
      <c r="J5" s="16">
        <f t="shared" ref="J5:J17" si="8">I5-TRUNC(I5)</f>
        <v>0.5007823249597152</v>
      </c>
      <c r="K5" s="15">
        <f t="shared" si="2"/>
        <v>2.0031292998388608</v>
      </c>
      <c r="L5" s="17">
        <f t="shared" ref="L5:L17" si="9">K5-TRUNC(K5)</f>
        <v>3.1292998388607884E-3</v>
      </c>
      <c r="M5" s="18">
        <f t="shared" ref="M5:M17" si="10">L5*4</f>
        <v>1.2517199355443154E-2</v>
      </c>
      <c r="N5" s="19"/>
      <c r="O5" s="21" t="str">
        <f>C5&amp;" - "&amp;D5&amp;" - "&amp;E5&amp;" - "&amp;F5</f>
        <v>4 - 4 - 2 - 0</v>
      </c>
    </row>
    <row r="6" spans="1:19" ht="22.15" customHeight="1">
      <c r="A6" s="11">
        <v>4</v>
      </c>
      <c r="B6" s="22">
        <v>466.03980000000001</v>
      </c>
      <c r="C6" s="12">
        <f t="shared" si="3"/>
        <v>0</v>
      </c>
      <c r="D6" s="13">
        <f t="shared" si="4"/>
        <v>14</v>
      </c>
      <c r="E6" s="13">
        <f t="shared" si="5"/>
        <v>2</v>
      </c>
      <c r="F6" s="14">
        <f t="shared" si="6"/>
        <v>2.5</v>
      </c>
      <c r="G6" s="15">
        <f t="shared" si="0"/>
        <v>0.9160667531548532</v>
      </c>
      <c r="H6" s="16">
        <f t="shared" si="7"/>
        <v>0.9160667531548532</v>
      </c>
      <c r="I6" s="15">
        <f t="shared" si="1"/>
        <v>14.657068050477651</v>
      </c>
      <c r="J6" s="16">
        <f t="shared" si="8"/>
        <v>0.65706805047765116</v>
      </c>
      <c r="K6" s="15">
        <f t="shared" si="2"/>
        <v>2.6282722019106046</v>
      </c>
      <c r="L6" s="17">
        <f t="shared" si="9"/>
        <v>0.62827220191060462</v>
      </c>
      <c r="M6" s="18">
        <f t="shared" si="10"/>
        <v>2.5130888076424185</v>
      </c>
      <c r="N6" s="19"/>
      <c r="O6" s="21" t="str">
        <f>C6&amp;" - "&amp;D6&amp;" - "&amp;E6&amp;" - "&amp;F6</f>
        <v>0 - 14 - 2 - 2.5</v>
      </c>
      <c r="P6" s="1"/>
      <c r="Q6" s="1"/>
    </row>
    <row r="7" spans="1:19" ht="20.45" customHeight="1">
      <c r="A7" s="11">
        <v>5</v>
      </c>
      <c r="B7" s="22">
        <v>241.81819999999999</v>
      </c>
      <c r="C7" s="12">
        <f t="shared" si="3"/>
        <v>0</v>
      </c>
      <c r="D7" s="13">
        <f t="shared" si="4"/>
        <v>7</v>
      </c>
      <c r="E7" s="13">
        <f t="shared" si="5"/>
        <v>2</v>
      </c>
      <c r="F7" s="14">
        <f t="shared" si="6"/>
        <v>1.6</v>
      </c>
      <c r="G7" s="15">
        <f t="shared" si="0"/>
        <v>0.47532767228839878</v>
      </c>
      <c r="H7" s="16">
        <f t="shared" si="7"/>
        <v>0.47532767228839878</v>
      </c>
      <c r="I7" s="15">
        <f t="shared" si="1"/>
        <v>7.6052427566143805</v>
      </c>
      <c r="J7" s="16">
        <f t="shared" si="8"/>
        <v>0.60524275661438054</v>
      </c>
      <c r="K7" s="15">
        <f t="shared" si="2"/>
        <v>2.4209710264575222</v>
      </c>
      <c r="L7" s="17">
        <f t="shared" si="9"/>
        <v>0.42097102645752216</v>
      </c>
      <c r="M7" s="18">
        <f t="shared" si="10"/>
        <v>1.6838841058300886</v>
      </c>
      <c r="N7" s="19"/>
      <c r="O7" s="21" t="str">
        <f t="shared" ref="O7:O17" si="11">C7&amp;" - "&amp;D7&amp;" - "&amp;E7&amp;" - "&amp;F7</f>
        <v>0 - 7 - 2 - 1.6</v>
      </c>
    </row>
    <row r="8" spans="1:19" ht="21.6" customHeight="1">
      <c r="A8" s="11">
        <v>6</v>
      </c>
      <c r="B8" s="22">
        <v>131.97399999999999</v>
      </c>
      <c r="C8" s="12">
        <f t="shared" si="3"/>
        <v>0</v>
      </c>
      <c r="D8" s="13">
        <f t="shared" si="4"/>
        <v>4</v>
      </c>
      <c r="E8" s="13">
        <f t="shared" si="5"/>
        <v>0</v>
      </c>
      <c r="F8" s="14">
        <f t="shared" si="6"/>
        <v>2.4</v>
      </c>
      <c r="G8" s="15">
        <f t="shared" si="0"/>
        <v>0.25941345284428191</v>
      </c>
      <c r="H8" s="16">
        <f t="shared" si="7"/>
        <v>0.25941345284428191</v>
      </c>
      <c r="I8" s="15">
        <f t="shared" si="1"/>
        <v>4.1506152455085106</v>
      </c>
      <c r="J8" s="16">
        <f t="shared" si="8"/>
        <v>0.15061524550851058</v>
      </c>
      <c r="K8" s="15">
        <f t="shared" si="2"/>
        <v>0.6024609820340423</v>
      </c>
      <c r="L8" s="17">
        <f t="shared" si="9"/>
        <v>0.6024609820340423</v>
      </c>
      <c r="M8" s="18">
        <f t="shared" si="10"/>
        <v>2.4098439281361692</v>
      </c>
      <c r="N8" s="19"/>
      <c r="O8" s="21" t="str">
        <f t="shared" si="11"/>
        <v>0 - 4 - 0 - 2.4</v>
      </c>
    </row>
    <row r="9" spans="1:19" ht="24.6" customHeight="1">
      <c r="A9" s="11">
        <v>7</v>
      </c>
      <c r="B9" s="22">
        <v>131.36760000000001</v>
      </c>
      <c r="C9" s="12">
        <f t="shared" si="3"/>
        <v>0</v>
      </c>
      <c r="D9" s="13">
        <f t="shared" si="4"/>
        <v>4</v>
      </c>
      <c r="E9" s="13">
        <f t="shared" si="5"/>
        <v>0</v>
      </c>
      <c r="F9" s="14">
        <f t="shared" si="6"/>
        <v>2.1</v>
      </c>
      <c r="G9" s="15">
        <f t="shared" si="0"/>
        <v>0.25822148838306408</v>
      </c>
      <c r="H9" s="16">
        <f t="shared" si="7"/>
        <v>0.25822148838306408</v>
      </c>
      <c r="I9" s="15">
        <f t="shared" si="1"/>
        <v>4.1315438141290253</v>
      </c>
      <c r="J9" s="16">
        <f t="shared" si="8"/>
        <v>0.13154381412902527</v>
      </c>
      <c r="K9" s="15">
        <f t="shared" si="2"/>
        <v>0.52617525651610109</v>
      </c>
      <c r="L9" s="17">
        <f t="shared" si="9"/>
        <v>0.52617525651610109</v>
      </c>
      <c r="M9" s="18">
        <f t="shared" si="10"/>
        <v>2.1047010260644043</v>
      </c>
      <c r="N9" s="19"/>
      <c r="O9" s="21" t="str">
        <f t="shared" si="11"/>
        <v>0 - 4 - 0 - 2.1</v>
      </c>
    </row>
    <row r="10" spans="1:19" ht="24.6" customHeight="1">
      <c r="A10" s="11">
        <v>8</v>
      </c>
      <c r="B10" s="22">
        <v>127.1862</v>
      </c>
      <c r="C10" s="12">
        <f t="shared" si="3"/>
        <v>0</v>
      </c>
      <c r="D10" s="13">
        <f t="shared" si="4"/>
        <v>4</v>
      </c>
      <c r="E10" s="13">
        <f t="shared" si="5"/>
        <v>0</v>
      </c>
      <c r="F10" s="14">
        <f t="shared" si="6"/>
        <v>0</v>
      </c>
      <c r="G10" s="15">
        <f t="shared" si="0"/>
        <v>0.25000235876872273</v>
      </c>
      <c r="H10" s="16">
        <f t="shared" si="7"/>
        <v>0.25000235876872273</v>
      </c>
      <c r="I10" s="15">
        <f t="shared" si="1"/>
        <v>4.0000377402995637</v>
      </c>
      <c r="J10" s="16">
        <f t="shared" si="8"/>
        <v>3.7740299563715496E-5</v>
      </c>
      <c r="K10" s="15">
        <f t="shared" si="2"/>
        <v>1.5096119825486198E-4</v>
      </c>
      <c r="L10" s="17">
        <f t="shared" si="9"/>
        <v>1.5096119825486198E-4</v>
      </c>
      <c r="M10" s="18">
        <f t="shared" si="10"/>
        <v>6.0384479301944793E-4</v>
      </c>
      <c r="N10" s="19"/>
      <c r="O10" s="21" t="str">
        <f t="shared" si="11"/>
        <v>0 - 4 - 0 - 0</v>
      </c>
    </row>
    <row r="11" spans="1:19" ht="26.45" customHeight="1">
      <c r="A11" s="11">
        <v>9</v>
      </c>
      <c r="B11" s="22">
        <v>139.51840000000001</v>
      </c>
      <c r="C11" s="12">
        <f t="shared" si="3"/>
        <v>0</v>
      </c>
      <c r="D11" s="13">
        <f t="shared" si="4"/>
        <v>4</v>
      </c>
      <c r="E11" s="13">
        <f t="shared" si="5"/>
        <v>1</v>
      </c>
      <c r="F11" s="14">
        <f t="shared" si="6"/>
        <v>2.2000000000000002</v>
      </c>
      <c r="G11" s="15">
        <f t="shared" si="0"/>
        <v>0.27424303180406495</v>
      </c>
      <c r="H11" s="16">
        <f t="shared" si="7"/>
        <v>0.27424303180406495</v>
      </c>
      <c r="I11" s="15">
        <f t="shared" si="1"/>
        <v>4.3878885088650392</v>
      </c>
      <c r="J11" s="16">
        <f t="shared" si="8"/>
        <v>0.38788850886503923</v>
      </c>
      <c r="K11" s="15">
        <f t="shared" si="2"/>
        <v>1.5515540354601569</v>
      </c>
      <c r="L11" s="17">
        <f t="shared" si="9"/>
        <v>0.55155403546015691</v>
      </c>
      <c r="M11" s="18">
        <f t="shared" si="10"/>
        <v>2.2062161418406276</v>
      </c>
      <c r="N11" s="19"/>
      <c r="O11" s="21" t="str">
        <f t="shared" si="11"/>
        <v>0 - 4 - 1 - 2.2</v>
      </c>
    </row>
    <row r="12" spans="1:19" ht="21.6" customHeight="1">
      <c r="A12" s="11">
        <v>10</v>
      </c>
      <c r="B12" s="22">
        <v>129.24629999999999</v>
      </c>
      <c r="C12" s="12">
        <f t="shared" si="3"/>
        <v>0</v>
      </c>
      <c r="D12" s="13">
        <f t="shared" si="4"/>
        <v>4</v>
      </c>
      <c r="E12" s="13">
        <f t="shared" si="5"/>
        <v>0</v>
      </c>
      <c r="F12" s="14">
        <f t="shared" si="6"/>
        <v>1</v>
      </c>
      <c r="G12" s="15">
        <f t="shared" si="0"/>
        <v>0.25405177497346382</v>
      </c>
      <c r="H12" s="16">
        <f t="shared" si="7"/>
        <v>0.25405177497346382</v>
      </c>
      <c r="I12" s="15">
        <f t="shared" si="1"/>
        <v>4.0648283995754211</v>
      </c>
      <c r="J12" s="16">
        <f t="shared" si="8"/>
        <v>6.4828399575421081E-2</v>
      </c>
      <c r="K12" s="15">
        <f t="shared" si="2"/>
        <v>0.25931359830168432</v>
      </c>
      <c r="L12" s="17">
        <f t="shared" si="9"/>
        <v>0.25931359830168432</v>
      </c>
      <c r="M12" s="18">
        <f t="shared" si="10"/>
        <v>1.0372543932067373</v>
      </c>
      <c r="N12" s="19"/>
      <c r="O12" s="21" t="str">
        <f t="shared" si="11"/>
        <v>0 - 4 - 0 - 1</v>
      </c>
    </row>
    <row r="13" spans="1:19" ht="24" customHeight="1">
      <c r="A13" s="11">
        <v>11</v>
      </c>
      <c r="B13" s="22">
        <v>96.578609999999998</v>
      </c>
      <c r="C13" s="12">
        <f t="shared" si="3"/>
        <v>0</v>
      </c>
      <c r="D13" s="13">
        <f t="shared" si="4"/>
        <v>3</v>
      </c>
      <c r="E13" s="13">
        <f t="shared" si="5"/>
        <v>0</v>
      </c>
      <c r="F13" s="14">
        <f t="shared" si="6"/>
        <v>0.5</v>
      </c>
      <c r="G13" s="15">
        <f t="shared" si="0"/>
        <v>0.18983883712701968</v>
      </c>
      <c r="H13" s="16">
        <f t="shared" si="7"/>
        <v>0.18983883712701968</v>
      </c>
      <c r="I13" s="15">
        <f t="shared" si="1"/>
        <v>3.0374213940323149</v>
      </c>
      <c r="J13" s="16">
        <f t="shared" si="8"/>
        <v>3.7421394032314925E-2</v>
      </c>
      <c r="K13" s="15">
        <f t="shared" si="2"/>
        <v>0.1496855761292597</v>
      </c>
      <c r="L13" s="17">
        <f t="shared" si="9"/>
        <v>0.1496855761292597</v>
      </c>
      <c r="M13" s="18">
        <f t="shared" si="10"/>
        <v>0.5987423045170388</v>
      </c>
      <c r="N13" s="19"/>
      <c r="O13" s="21" t="str">
        <f t="shared" si="11"/>
        <v>0 - 3 - 0 - 0.5</v>
      </c>
    </row>
    <row r="14" spans="1:19" ht="22.9" customHeight="1">
      <c r="A14" s="11">
        <v>12</v>
      </c>
      <c r="B14" s="22">
        <v>154.04769999999999</v>
      </c>
      <c r="C14" s="12">
        <f t="shared" si="3"/>
        <v>0</v>
      </c>
      <c r="D14" s="13">
        <f t="shared" si="4"/>
        <v>4</v>
      </c>
      <c r="E14" s="13">
        <f t="shared" si="5"/>
        <v>3</v>
      </c>
      <c r="F14" s="14">
        <f t="shared" si="6"/>
        <v>1.5</v>
      </c>
      <c r="G14" s="15">
        <f t="shared" si="0"/>
        <v>0.30280241380665956</v>
      </c>
      <c r="H14" s="16">
        <f t="shared" si="7"/>
        <v>0.30280241380665956</v>
      </c>
      <c r="I14" s="15">
        <f t="shared" si="1"/>
        <v>4.844838620906553</v>
      </c>
      <c r="J14" s="16">
        <f t="shared" si="8"/>
        <v>0.84483862090655304</v>
      </c>
      <c r="K14" s="15">
        <f t="shared" si="2"/>
        <v>3.3793544836262122</v>
      </c>
      <c r="L14" s="17">
        <f t="shared" si="9"/>
        <v>0.37935448362621216</v>
      </c>
      <c r="M14" s="18">
        <f t="shared" si="10"/>
        <v>1.5174179345048486</v>
      </c>
      <c r="N14" s="19"/>
      <c r="O14" s="21" t="str">
        <f t="shared" si="11"/>
        <v>0 - 4 - 3 - 1.5</v>
      </c>
    </row>
    <row r="15" spans="1:19" ht="24" customHeight="1">
      <c r="A15" s="11">
        <v>13</v>
      </c>
      <c r="B15" s="22">
        <v>127.18519999999999</v>
      </c>
      <c r="C15" s="12">
        <f t="shared" si="3"/>
        <v>0</v>
      </c>
      <c r="D15" s="13">
        <f t="shared" si="4"/>
        <v>4</v>
      </c>
      <c r="E15" s="13">
        <f t="shared" si="5"/>
        <v>0</v>
      </c>
      <c r="F15" s="14">
        <f t="shared" si="6"/>
        <v>0</v>
      </c>
      <c r="G15" s="15">
        <f t="shared" si="0"/>
        <v>0.25000039312812045</v>
      </c>
      <c r="H15" s="16">
        <f t="shared" si="7"/>
        <v>0.25000039312812045</v>
      </c>
      <c r="I15" s="15">
        <f t="shared" si="1"/>
        <v>4.0000062900499271</v>
      </c>
      <c r="J15" s="16">
        <f t="shared" si="8"/>
        <v>6.2900499271378862E-6</v>
      </c>
      <c r="K15" s="15">
        <f t="shared" si="2"/>
        <v>2.5160199708551545E-5</v>
      </c>
      <c r="L15" s="17">
        <f t="shared" si="9"/>
        <v>2.5160199708551545E-5</v>
      </c>
      <c r="M15" s="18">
        <f t="shared" si="10"/>
        <v>1.0064079883420618E-4</v>
      </c>
      <c r="N15" s="19"/>
      <c r="O15" s="21" t="str">
        <f t="shared" si="11"/>
        <v>0 - 4 - 0 - 0</v>
      </c>
    </row>
    <row r="16" spans="1:19" ht="24" customHeight="1">
      <c r="A16" s="11">
        <v>14</v>
      </c>
      <c r="B16" s="22">
        <v>127.1879</v>
      </c>
      <c r="C16" s="12">
        <f t="shared" si="3"/>
        <v>0</v>
      </c>
      <c r="D16" s="13">
        <f t="shared" si="4"/>
        <v>4</v>
      </c>
      <c r="E16" s="13">
        <f t="shared" si="5"/>
        <v>0</v>
      </c>
      <c r="F16" s="14">
        <f t="shared" si="6"/>
        <v>0</v>
      </c>
      <c r="G16" s="15">
        <f t="shared" si="0"/>
        <v>0.25000570035774661</v>
      </c>
      <c r="H16" s="16">
        <f t="shared" si="7"/>
        <v>0.25000570035774661</v>
      </c>
      <c r="I16" s="15">
        <f t="shared" si="1"/>
        <v>4.0000912057239457</v>
      </c>
      <c r="J16" s="16">
        <f t="shared" si="8"/>
        <v>9.1205723945719797E-5</v>
      </c>
      <c r="K16" s="15">
        <f t="shared" si="2"/>
        <v>3.6482289578287919E-4</v>
      </c>
      <c r="L16" s="17">
        <f t="shared" si="9"/>
        <v>3.6482289578287919E-4</v>
      </c>
      <c r="M16" s="18">
        <f t="shared" si="10"/>
        <v>1.4592915831315167E-3</v>
      </c>
      <c r="N16" s="19"/>
      <c r="O16" s="21" t="str">
        <f t="shared" si="11"/>
        <v>0 - 4 - 0 - 0</v>
      </c>
    </row>
    <row r="17" spans="1:15" ht="23.45" customHeight="1">
      <c r="A17" s="11">
        <v>15</v>
      </c>
      <c r="B17" s="22">
        <v>130.00190000000001</v>
      </c>
      <c r="C17" s="12">
        <f t="shared" si="3"/>
        <v>0</v>
      </c>
      <c r="D17" s="13">
        <f t="shared" si="4"/>
        <v>4</v>
      </c>
      <c r="E17" s="13">
        <f t="shared" si="5"/>
        <v>0</v>
      </c>
      <c r="F17" s="14">
        <f t="shared" si="6"/>
        <v>1.4</v>
      </c>
      <c r="G17" s="15">
        <f t="shared" si="0"/>
        <v>0.25553701301254078</v>
      </c>
      <c r="H17" s="16">
        <f t="shared" si="7"/>
        <v>0.25553701301254078</v>
      </c>
      <c r="I17" s="15">
        <f t="shared" si="1"/>
        <v>4.0885922082006525</v>
      </c>
      <c r="J17" s="16">
        <f t="shared" si="8"/>
        <v>8.85922082006525E-2</v>
      </c>
      <c r="K17" s="15">
        <f t="shared" si="2"/>
        <v>0.35436883280261</v>
      </c>
      <c r="L17" s="17">
        <f t="shared" si="9"/>
        <v>0.35436883280261</v>
      </c>
      <c r="M17" s="18">
        <f t="shared" si="10"/>
        <v>1.41747533121044</v>
      </c>
      <c r="N17" s="19"/>
      <c r="O17" s="21" t="str">
        <f t="shared" si="11"/>
        <v>0 - 4 - 0 - 1.4</v>
      </c>
    </row>
    <row r="18" spans="1:15" ht="24.6" customHeight="1"/>
    <row r="19" spans="1:15" ht="25.15" customHeight="1"/>
    <row r="20" spans="1:15" ht="35.450000000000003" customHeight="1"/>
  </sheetData>
  <sheetProtection algorithmName="SHA-512" hashValue="n382cKxfvO2YzPTlYiWmnPpeteiA/0OnfjG2oqj4iRRowFxvkzlm+QeQkOG5HBpaCR6R1Hd6a6AP1ptRGor7wg==" saltValue="9UJCsPVscQ/45Tl0We9Imw==" spinCount="100000" sheet="1" objects="1" scenarios="1"/>
  <mergeCells count="2">
    <mergeCell ref="G1:M1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2:F20"/>
  <sheetViews>
    <sheetView workbookViewId="0">
      <selection activeCell="F2" sqref="F2"/>
    </sheetView>
  </sheetViews>
  <sheetFormatPr defaultRowHeight="15"/>
  <cols>
    <col min="6" max="6" width="20.5703125" customWidth="1"/>
  </cols>
  <sheetData>
    <row r="2" spans="6:6">
      <c r="F2" s="1" t="str">
        <f>Sheet1!O3</f>
        <v>1 - 14 - 1 - 2.2</v>
      </c>
    </row>
    <row r="3" spans="6:6">
      <c r="F3" s="1" t="str">
        <f>Sheet1!O4</f>
        <v>1032 - 7 - 1 - 0.9</v>
      </c>
    </row>
    <row r="4" spans="6:6">
      <c r="F4" s="1" t="str">
        <f>Sheet1!O5</f>
        <v>4 - 4 - 2 - 0</v>
      </c>
    </row>
    <row r="5" spans="6:6">
      <c r="F5" s="1" t="str">
        <f>Sheet1!O6</f>
        <v>0 - 14 - 2 - 2.5</v>
      </c>
    </row>
    <row r="6" spans="6:6">
      <c r="F6" s="1" t="str">
        <f>Sheet1!O7</f>
        <v>0 - 7 - 2 - 1.6</v>
      </c>
    </row>
    <row r="7" spans="6:6">
      <c r="F7" s="1" t="str">
        <f>Sheet1!O8</f>
        <v>0 - 4 - 0 - 2.4</v>
      </c>
    </row>
    <row r="8" spans="6:6">
      <c r="F8" s="1" t="str">
        <f>Sheet1!O9</f>
        <v>0 - 4 - 0 - 2.1</v>
      </c>
    </row>
    <row r="9" spans="6:6">
      <c r="F9" s="1" t="str">
        <f>Sheet1!O10</f>
        <v>0 - 4 - 0 - 0</v>
      </c>
    </row>
    <row r="10" spans="6:6">
      <c r="F10" s="1" t="str">
        <f>Sheet1!O11</f>
        <v>0 - 4 - 1 - 2.2</v>
      </c>
    </row>
    <row r="11" spans="6:6">
      <c r="F11" s="1" t="str">
        <f>Sheet1!O12</f>
        <v>0 - 4 - 0 - 1</v>
      </c>
    </row>
    <row r="12" spans="6:6">
      <c r="F12" s="1" t="str">
        <f>Sheet1!O13</f>
        <v>0 - 3 - 0 - 0.5</v>
      </c>
    </row>
    <row r="13" spans="6:6">
      <c r="F13" s="1" t="str">
        <f>Sheet1!O14</f>
        <v>0 - 4 - 3 - 1.5</v>
      </c>
    </row>
    <row r="14" spans="6:6">
      <c r="F14" s="1" t="str">
        <f>Sheet1!O15</f>
        <v>0 - 4 - 0 - 0</v>
      </c>
    </row>
    <row r="15" spans="6:6">
      <c r="F15" s="1" t="str">
        <f>Sheet1!O16</f>
        <v>0 - 4 - 0 - 0</v>
      </c>
    </row>
    <row r="16" spans="6:6">
      <c r="F16" s="1" t="str">
        <f>Sheet1!O17</f>
        <v>0 - 4 - 0 - 1.4</v>
      </c>
    </row>
    <row r="17" spans="6:6">
      <c r="F17" s="1"/>
    </row>
    <row r="18" spans="6:6">
      <c r="F18" s="1"/>
    </row>
    <row r="19" spans="6:6">
      <c r="F19" s="1"/>
    </row>
    <row r="20" spans="6:6"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bhandari</dc:creator>
  <cp:lastModifiedBy>Maheshz</cp:lastModifiedBy>
  <cp:revision/>
  <dcterms:created xsi:type="dcterms:W3CDTF">2022-04-11T04:46:35Z</dcterms:created>
  <dcterms:modified xsi:type="dcterms:W3CDTF">2023-05-16T14:05:33Z</dcterms:modified>
</cp:coreProperties>
</file>